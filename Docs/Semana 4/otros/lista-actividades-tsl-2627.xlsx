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Actividades" sheetId="1" state="visible" r:id="rId1"/>
    <sheet xmlns:r="http://schemas.openxmlformats.org/officeDocument/2006/relationships" name="Resumen y Cobertura NOR-2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2F5496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  <font>
      <name val="Calibri"/>
      <b val="1"/>
      <color rgb="00548235"/>
      <sz val="10"/>
    </font>
    <font>
      <name val="Calibri"/>
      <b val="1"/>
      <color rgb="00274E13"/>
      <sz val="10"/>
    </font>
    <font>
      <name val="Calibri"/>
      <b val="1"/>
      <color rgb="002F5496"/>
      <sz val="1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DCE4"/>
        <bgColor rgb="00D6DCE4"/>
      </patternFill>
    </fill>
    <fill>
      <patternFill patternType="solid">
        <fgColor rgb="004472C4"/>
        <bgColor rgb="004472C4"/>
      </patternFill>
    </fill>
  </fills>
  <borders count="4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6" fillId="8" borderId="3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/>
    </xf>
    <xf numFmtId="0" fontId="9" fillId="0" borderId="0" pivotButton="0" quotePrefix="0" xfId="0"/>
    <xf numFmtId="0" fontId="3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55" customWidth="1" min="3" max="3"/>
    <col width="16" customWidth="1" min="4" max="4"/>
    <col width="15" customWidth="1" min="5" max="5"/>
    <col width="12" customWidth="1" min="6" max="6"/>
    <col width="14" customWidth="1" min="7" max="7"/>
    <col width="26" customWidth="1" min="8" max="8"/>
  </cols>
  <sheetData>
    <row r="1" ht="24" customHeight="1">
      <c r="A1" s="1" t="inlineStr">
        <is>
          <t>PROYECTO: TuSuper en línea (TSL-2627) — LISTA DE ACTIVIDADES</t>
        </is>
      </c>
    </row>
    <row r="2" ht="18" customHeight="1">
      <c r="A2" s="2" t="inlineStr">
        <is>
          <t>Consultora: Taracea | Grupo: PGPI-208 | Base normativa: NOR-11, NOR-21, NOR-22, NOR-25 | Plantilla oficial: LISTA DE ACTIVIDADES_v2.docx</t>
        </is>
      </c>
    </row>
    <row r="4" ht="28" customHeight="1">
      <c r="A4" s="3" t="inlineStr">
        <is>
          <t>ID</t>
        </is>
      </c>
      <c r="B4" s="3" t="inlineStr">
        <is>
          <t>NOMBRE DE LA ACTIVIDAD</t>
        </is>
      </c>
      <c r="C4" s="3" t="inlineStr">
        <is>
          <t>DESCRIPCIÓN DEL TRABAJO</t>
        </is>
      </c>
      <c r="D4" s="3" t="inlineStr">
        <is>
          <t>ID PAQUETE EDT</t>
        </is>
      </c>
      <c r="E4" s="3" t="inlineStr">
        <is>
          <t>ELEMENTO
(Texto1)</t>
        </is>
      </c>
      <c r="F4" s="3" t="inlineStr">
        <is>
          <t>ESTADO
(Texto2)</t>
        </is>
      </c>
      <c r="G4" s="3" t="inlineStr">
        <is>
          <t>CÓDIGO MSP
(Texto3)</t>
        </is>
      </c>
      <c r="H4" s="3" t="inlineStr">
        <is>
          <t>TIPO DE CUENTA / NATURALEZA</t>
        </is>
      </c>
    </row>
    <row r="5" ht="24" customHeight="1">
      <c r="A5" s="4" t="inlineStr">
        <is>
          <t>ACT-01</t>
        </is>
      </c>
      <c r="B5" s="5" t="inlineStr">
        <is>
          <t>Dirección de la planificación</t>
        </is>
      </c>
      <c r="C5" s="6" t="inlineStr">
        <is>
          <t>Gestión global de la fase de planificación, coordinación del equipo de expertos y elaboración del Plan de Dirección y Líneas Base.</t>
        </is>
      </c>
      <c r="D5" s="7" t="inlineStr">
        <is>
          <t>1.1.1</t>
        </is>
      </c>
      <c r="E5" s="8" t="inlineStr">
        <is>
          <t>—</t>
        </is>
      </c>
      <c r="F5" s="7" t="inlineStr">
        <is>
          <t>—</t>
        </is>
      </c>
      <c r="G5" s="7" t="inlineStr">
        <is>
          <t>DIR-PLA</t>
        </is>
      </c>
      <c r="H5" s="5" t="inlineStr">
        <is>
          <t>Dirección (Nivel de esfuerzo)</t>
        </is>
      </c>
    </row>
    <row r="6" ht="24" customHeight="1">
      <c r="A6" s="9" t="inlineStr">
        <is>
          <t>ACT-02</t>
        </is>
      </c>
      <c r="B6" s="10" t="inlineStr">
        <is>
          <t>Dirección y control del Sprint 1</t>
        </is>
      </c>
      <c r="C6" s="11" t="inlineStr">
        <is>
          <t>Gestión de la ejecución del Sprint 1, seguimiento diario, eliminación de impedimentos y revisión/retrospectiva con el cliente.</t>
        </is>
      </c>
      <c r="D6" s="12" t="inlineStr">
        <is>
          <t>1.1.2</t>
        </is>
      </c>
      <c r="E6" s="13" t="inlineStr">
        <is>
          <t>—</t>
        </is>
      </c>
      <c r="F6" s="12" t="inlineStr">
        <is>
          <t>—</t>
        </is>
      </c>
      <c r="G6" s="12" t="inlineStr">
        <is>
          <t>SPR-01</t>
        </is>
      </c>
      <c r="H6" s="10" t="inlineStr">
        <is>
          <t>Dirección (Nivel de esfuerzo)</t>
        </is>
      </c>
    </row>
    <row r="7" ht="24" customHeight="1">
      <c r="A7" s="4" t="inlineStr">
        <is>
          <t>ACT-03</t>
        </is>
      </c>
      <c r="B7" s="5" t="inlineStr">
        <is>
          <t>Dirección y control del Sprint 2</t>
        </is>
      </c>
      <c r="C7" s="6" t="inlineStr">
        <is>
          <t>Gestión de la ejecución del Sprint 2, seguimiento diario y revisión/retrospectiva con el cliente.</t>
        </is>
      </c>
      <c r="D7" s="7" t="inlineStr">
        <is>
          <t>1.1.3</t>
        </is>
      </c>
      <c r="E7" s="8" t="inlineStr">
        <is>
          <t>—</t>
        </is>
      </c>
      <c r="F7" s="7" t="inlineStr">
        <is>
          <t>—</t>
        </is>
      </c>
      <c r="G7" s="7" t="inlineStr">
        <is>
          <t>SPR-02</t>
        </is>
      </c>
      <c r="H7" s="5" t="inlineStr">
        <is>
          <t>Dirección (Nivel de esfuerzo)</t>
        </is>
      </c>
    </row>
    <row r="8" ht="24" customHeight="1">
      <c r="A8" s="9" t="inlineStr">
        <is>
          <t>ACT-04</t>
        </is>
      </c>
      <c r="B8" s="10" t="inlineStr">
        <is>
          <t>Dirección y control del Sprint 3</t>
        </is>
      </c>
      <c r="C8" s="11" t="inlineStr">
        <is>
          <t>Gestión de la ejecución del Sprint 3, seguimiento diario y revisión/retrospectiva con el cliente.</t>
        </is>
      </c>
      <c r="D8" s="12" t="inlineStr">
        <is>
          <t>1.1.4</t>
        </is>
      </c>
      <c r="E8" s="13" t="inlineStr">
        <is>
          <t>—</t>
        </is>
      </c>
      <c r="F8" s="12" t="inlineStr">
        <is>
          <t>—</t>
        </is>
      </c>
      <c r="G8" s="12" t="inlineStr">
        <is>
          <t>SPR-03</t>
        </is>
      </c>
      <c r="H8" s="10" t="inlineStr">
        <is>
          <t>Dirección (Nivel de esfuerzo)</t>
        </is>
      </c>
    </row>
    <row r="9" ht="24" customHeight="1">
      <c r="A9" s="4" t="inlineStr">
        <is>
          <t>ACT-05</t>
        </is>
      </c>
      <c r="B9" s="5" t="inlineStr">
        <is>
          <t>Dirección y control del Sprint 4</t>
        </is>
      </c>
      <c r="C9" s="6" t="inlineStr">
        <is>
          <t>Gestión de la ejecución del Sprint 4, seguimiento diario y revisión/retrospectiva con el cliente.</t>
        </is>
      </c>
      <c r="D9" s="7" t="inlineStr">
        <is>
          <t>1.1.5</t>
        </is>
      </c>
      <c r="E9" s="8" t="inlineStr">
        <is>
          <t>—</t>
        </is>
      </c>
      <c r="F9" s="7" t="inlineStr">
        <is>
          <t>—</t>
        </is>
      </c>
      <c r="G9" s="7" t="inlineStr">
        <is>
          <t>SPR-04</t>
        </is>
      </c>
      <c r="H9" s="5" t="inlineStr">
        <is>
          <t>Dirección (Nivel de esfuerzo)</t>
        </is>
      </c>
    </row>
    <row r="10" ht="24" customHeight="1">
      <c r="A10" s="9" t="inlineStr">
        <is>
          <t>ACT-06</t>
        </is>
      </c>
      <c r="B10" s="10" t="inlineStr">
        <is>
          <t>Dirección y control del Sprint 5</t>
        </is>
      </c>
      <c r="C10" s="11" t="inlineStr">
        <is>
          <t>Gestión de la ejecución del Sprint 5, seguimiento diario y revisión/retrospectiva con el cliente.</t>
        </is>
      </c>
      <c r="D10" s="12" t="inlineStr">
        <is>
          <t>1.1.6</t>
        </is>
      </c>
      <c r="E10" s="13" t="inlineStr">
        <is>
          <t>—</t>
        </is>
      </c>
      <c r="F10" s="12" t="inlineStr">
        <is>
          <t>—</t>
        </is>
      </c>
      <c r="G10" s="12" t="inlineStr">
        <is>
          <t>SPR-05</t>
        </is>
      </c>
      <c r="H10" s="10" t="inlineStr">
        <is>
          <t>Dirección (Nivel de esfuerzo)</t>
        </is>
      </c>
    </row>
    <row r="11" ht="24" customHeight="1">
      <c r="A11" s="4" t="inlineStr">
        <is>
          <t>ACT-07</t>
        </is>
      </c>
      <c r="B11" s="5" t="inlineStr">
        <is>
          <t>Dirección y control del Sprint 6</t>
        </is>
      </c>
      <c r="C11" s="6" t="inlineStr">
        <is>
          <t>Gestión de la ejecución del Sprint 6, seguimiento diario y preparación del paso a producción.</t>
        </is>
      </c>
      <c r="D11" s="7" t="inlineStr">
        <is>
          <t>1.1.7</t>
        </is>
      </c>
      <c r="E11" s="8" t="inlineStr">
        <is>
          <t>—</t>
        </is>
      </c>
      <c r="F11" s="7" t="inlineStr">
        <is>
          <t>—</t>
        </is>
      </c>
      <c r="G11" s="7" t="inlineStr">
        <is>
          <t>SPR-06</t>
        </is>
      </c>
      <c r="H11" s="5" t="inlineStr">
        <is>
          <t>Dirección (Nivel de esfuerzo)</t>
        </is>
      </c>
    </row>
    <row r="12" ht="24" customHeight="1">
      <c r="A12" s="9" t="inlineStr">
        <is>
          <t>ACT-08</t>
        </is>
      </c>
      <c r="B12" s="10" t="inlineStr">
        <is>
          <t>Cierre formal y liquidación</t>
        </is>
      </c>
      <c r="C12" s="11" t="inlineStr">
        <is>
          <t>Elaboración del informe de cierre, balance de líneas base, registro de lecciones aprendidas y liberación del personal.</t>
        </is>
      </c>
      <c r="D12" s="12" t="inlineStr">
        <is>
          <t>1.1.8</t>
        </is>
      </c>
      <c r="E12" s="13" t="inlineStr">
        <is>
          <t>—</t>
        </is>
      </c>
      <c r="F12" s="12" t="inlineStr">
        <is>
          <t>—</t>
        </is>
      </c>
      <c r="G12" s="12" t="inlineStr">
        <is>
          <t>CPR</t>
        </is>
      </c>
      <c r="H12" s="10" t="inlineStr">
        <is>
          <t>Dirección (Cierre)</t>
        </is>
      </c>
    </row>
    <row r="13" ht="24" customHeight="1">
      <c r="A13" s="4" t="inlineStr">
        <is>
          <t>ACT-09</t>
        </is>
      </c>
      <c r="B13" s="5" t="inlineStr">
        <is>
          <t>Traspaso al servicio de mantenimiento</t>
        </is>
      </c>
      <c r="C13" s="6" t="inlineStr">
        <is>
          <t>Traspaso del repositorio, configuración, relación de defectos abiertos y provisión para la garantía.</t>
        </is>
      </c>
      <c r="D13" s="7" t="inlineStr">
        <is>
          <t>1.1.9</t>
        </is>
      </c>
      <c r="E13" s="8" t="inlineStr">
        <is>
          <t>—</t>
        </is>
      </c>
      <c r="F13" s="7" t="inlineStr">
        <is>
          <t>—</t>
        </is>
      </c>
      <c r="G13" s="7" t="inlineStr">
        <is>
          <t>CPR</t>
        </is>
      </c>
      <c r="H13" s="5" t="inlineStr">
        <is>
          <t>Transición / Cierre</t>
        </is>
      </c>
    </row>
    <row r="14" ht="24" customHeight="1">
      <c r="A14" s="9" t="inlineStr">
        <is>
          <t>ACT-10</t>
        </is>
      </c>
      <c r="B14" s="10" t="inlineStr">
        <is>
          <t>Especificación funcional común</t>
        </is>
      </c>
      <c r="C14" s="11" t="inlineStr">
        <is>
          <t>Definición de especificaciones funcionales comunes y acuerdos de criterios de aceptación con TuSuper.</t>
        </is>
      </c>
      <c r="D14" s="12" t="inlineStr">
        <is>
          <t>1.2.1.1</t>
        </is>
      </c>
      <c r="E14" s="14" t="inlineStr">
        <is>
          <t>EP-01</t>
        </is>
      </c>
      <c r="F14" s="12" t="inlineStr">
        <is>
          <t>—</t>
        </is>
      </c>
      <c r="G14" s="12" t="inlineStr">
        <is>
          <t>ESP-COM</t>
        </is>
      </c>
      <c r="H14" s="10" t="inlineStr">
        <is>
          <t>Transversal (EP-01)</t>
        </is>
      </c>
    </row>
    <row r="15" ht="24" customHeight="1">
      <c r="A15" s="4" t="inlineStr">
        <is>
          <t>ACT-11</t>
        </is>
      </c>
      <c r="B15" s="5" t="inlineStr">
        <is>
          <t>Diseño del sistema de interacción UI/UX</t>
        </is>
      </c>
      <c r="C15" s="6" t="inlineStr">
        <is>
          <t>Elaboración del sistema de diseño, pautas de interacción, maquetación base y componentes visuales comunes web y móvil.</t>
        </is>
      </c>
      <c r="D15" s="7" t="inlineStr">
        <is>
          <t>1.2.1.2</t>
        </is>
      </c>
      <c r="E15" s="15" t="inlineStr">
        <is>
          <t>EP-02</t>
        </is>
      </c>
      <c r="F15" s="7" t="inlineStr">
        <is>
          <t>—</t>
        </is>
      </c>
      <c r="G15" s="7" t="inlineStr">
        <is>
          <t>DIS-UX</t>
        </is>
      </c>
      <c r="H15" s="5" t="inlineStr">
        <is>
          <t>Transversal (EP-02)</t>
        </is>
      </c>
    </row>
    <row r="16" ht="24" customHeight="1">
      <c r="A16" s="9" t="inlineStr">
        <is>
          <t>ACT-12</t>
        </is>
      </c>
      <c r="B16" s="10" t="inlineStr">
        <is>
          <t>Especificación y diseño de pruebas de RF-01</t>
        </is>
      </c>
      <c r="C16" s="11" t="inlineStr">
        <is>
          <t>Detalle funcional del registro con validación, login, área personal y diseño de casos de prueba de autenticación.</t>
        </is>
      </c>
      <c r="D16" s="12" t="inlineStr">
        <is>
          <t>1.2.2.1</t>
        </is>
      </c>
      <c r="E16" s="9" t="inlineStr">
        <is>
          <t>RF-01</t>
        </is>
      </c>
      <c r="F16" s="16" t="inlineStr">
        <is>
          <t>E</t>
        </is>
      </c>
      <c r="G16" s="12" t="inlineStr">
        <is>
          <t>REQ-01E</t>
        </is>
      </c>
      <c r="H16" s="10" t="inlineStr">
        <is>
          <t>Funcional (Autenticación)</t>
        </is>
      </c>
    </row>
    <row r="17" ht="24" customHeight="1">
      <c r="A17" s="4" t="inlineStr">
        <is>
          <t>ACT-13</t>
        </is>
      </c>
      <c r="B17" s="5" t="inlineStr">
        <is>
          <t>Construcción e integración de RF-01</t>
        </is>
      </c>
      <c r="C17" s="6" t="inlineStr">
        <is>
          <t>Codificación de servicios REST de cuentas, servidor de identidad OpenID/OAuth, vistas web y móviles integradas en rama principal.</t>
        </is>
      </c>
      <c r="D17" s="7" t="inlineStr">
        <is>
          <t>1.2.2.2</t>
        </is>
      </c>
      <c r="E17" s="4" t="inlineStr">
        <is>
          <t>RF-01</t>
        </is>
      </c>
      <c r="F17" s="17" t="inlineStr">
        <is>
          <t>C</t>
        </is>
      </c>
      <c r="G17" s="7" t="inlineStr">
        <is>
          <t>REQ-01C</t>
        </is>
      </c>
      <c r="H17" s="5" t="inlineStr">
        <is>
          <t>Funcional (Autenticación)</t>
        </is>
      </c>
    </row>
    <row r="18" ht="24" customHeight="1">
      <c r="A18" s="9" t="inlineStr">
        <is>
          <t>ACT-14</t>
        </is>
      </c>
      <c r="B18" s="10" t="inlineStr">
        <is>
          <t>Verificación de RF-01</t>
        </is>
      </c>
      <c r="C18" s="11" t="inlineStr">
        <is>
          <t>Pruebas de sistema, validación de flujos de autenticación y revisión con el cliente en el entorno de verificación.</t>
        </is>
      </c>
      <c r="D18" s="12" t="inlineStr">
        <is>
          <t>1.2.2.3</t>
        </is>
      </c>
      <c r="E18" s="9" t="inlineStr">
        <is>
          <t>RF-01</t>
        </is>
      </c>
      <c r="F18" s="18" t="inlineStr">
        <is>
          <t>V</t>
        </is>
      </c>
      <c r="G18" s="12" t="inlineStr">
        <is>
          <t>REQ-01V</t>
        </is>
      </c>
      <c r="H18" s="10" t="inlineStr">
        <is>
          <t>Funcional (Autenticación)</t>
        </is>
      </c>
    </row>
    <row r="19" ht="24" customHeight="1">
      <c r="A19" s="4" t="inlineStr">
        <is>
          <t>ACT-15</t>
        </is>
      </c>
      <c r="B19" s="5" t="inlineStr">
        <is>
          <t>Especificación y diseño de pruebas de RF-02</t>
        </is>
      </c>
      <c r="C19" s="6" t="inlineStr">
        <is>
          <t>Detalle de navegación por categorías, filtros por marca/formato, buscador con sugerencias y diseño de pruebas.</t>
        </is>
      </c>
      <c r="D19" s="7" t="inlineStr">
        <is>
          <t>1.2.2.1</t>
        </is>
      </c>
      <c r="E19" s="4" t="inlineStr">
        <is>
          <t>RF-02</t>
        </is>
      </c>
      <c r="F19" s="16" t="inlineStr">
        <is>
          <t>E</t>
        </is>
      </c>
      <c r="G19" s="7" t="inlineStr">
        <is>
          <t>REQ-02E</t>
        </is>
      </c>
      <c r="H19" s="5" t="inlineStr">
        <is>
          <t>Funcional (Catálogo)</t>
        </is>
      </c>
    </row>
    <row r="20" ht="24" customHeight="1">
      <c r="A20" s="9" t="inlineStr">
        <is>
          <t>ACT-16</t>
        </is>
      </c>
      <c r="B20" s="10" t="inlineStr">
        <is>
          <t>Construcción e integración de RF-02</t>
        </is>
      </c>
      <c r="C20" s="11" t="inlineStr">
        <is>
          <t>Desarrollo del servicio de catálogo, endpoints de búsqueda, componentes de interfaz web/móvil e integración continua.</t>
        </is>
      </c>
      <c r="D20" s="12" t="inlineStr">
        <is>
          <t>1.2.2.2</t>
        </is>
      </c>
      <c r="E20" s="9" t="inlineStr">
        <is>
          <t>RF-02</t>
        </is>
      </c>
      <c r="F20" s="17" t="inlineStr">
        <is>
          <t>C</t>
        </is>
      </c>
      <c r="G20" s="12" t="inlineStr">
        <is>
          <t>REQ-02C</t>
        </is>
      </c>
      <c r="H20" s="10" t="inlineStr">
        <is>
          <t>Funcional (Catálogo)</t>
        </is>
      </c>
    </row>
    <row r="21" ht="24" customHeight="1">
      <c r="A21" s="4" t="inlineStr">
        <is>
          <t>ACT-17</t>
        </is>
      </c>
      <c r="B21" s="5" t="inlineStr">
        <is>
          <t>Verificación de RF-02</t>
        </is>
      </c>
      <c r="C21" s="6" t="inlineStr">
        <is>
          <t>Verificación de rendimiento de búsquedas, filtros y visualización de fichas en entorno de verificación.</t>
        </is>
      </c>
      <c r="D21" s="7" t="inlineStr">
        <is>
          <t>1.2.2.3</t>
        </is>
      </c>
      <c r="E21" s="4" t="inlineStr">
        <is>
          <t>RF-02</t>
        </is>
      </c>
      <c r="F21" s="18" t="inlineStr">
        <is>
          <t>V</t>
        </is>
      </c>
      <c r="G21" s="7" t="inlineStr">
        <is>
          <t>REQ-02V</t>
        </is>
      </c>
      <c r="H21" s="5" t="inlineStr">
        <is>
          <t>Funcional (Catálogo)</t>
        </is>
      </c>
    </row>
    <row r="22" ht="24" customHeight="1">
      <c r="A22" s="9" t="inlineStr">
        <is>
          <t>ACT-18</t>
        </is>
      </c>
      <c r="B22" s="10" t="inlineStr">
        <is>
          <t>Especificación y diseño de pruebas de RF-03</t>
        </is>
      </c>
      <c r="C22" s="11" t="inlineStr">
        <is>
          <t>Definición de persistencia multisesión/dispositivo, reglas de guardado para más tarde y diseño de pruebas.</t>
        </is>
      </c>
      <c r="D22" s="12" t="inlineStr">
        <is>
          <t>1.2.3.1</t>
        </is>
      </c>
      <c r="E22" s="9" t="inlineStr">
        <is>
          <t>RF-03</t>
        </is>
      </c>
      <c r="F22" s="16" t="inlineStr">
        <is>
          <t>E</t>
        </is>
      </c>
      <c r="G22" s="12" t="inlineStr">
        <is>
          <t>REQ-03E</t>
        </is>
      </c>
      <c r="H22" s="10" t="inlineStr">
        <is>
          <t>Funcional (Carrito)</t>
        </is>
      </c>
    </row>
    <row r="23" ht="24" customHeight="1">
      <c r="A23" s="4" t="inlineStr">
        <is>
          <t>ACT-19</t>
        </is>
      </c>
      <c r="B23" s="5" t="inlineStr">
        <is>
          <t>Construcción e integración de RF-03</t>
        </is>
      </c>
      <c r="C23" s="6" t="inlineStr">
        <is>
          <t>Programación del servicio de cesta de la compra, almacenamiento en base de datos PostgreSQL e integración en apps.</t>
        </is>
      </c>
      <c r="D23" s="7" t="inlineStr">
        <is>
          <t>1.2.3.2</t>
        </is>
      </c>
      <c r="E23" s="4" t="inlineStr">
        <is>
          <t>RF-03</t>
        </is>
      </c>
      <c r="F23" s="17" t="inlineStr">
        <is>
          <t>C</t>
        </is>
      </c>
      <c r="G23" s="7" t="inlineStr">
        <is>
          <t>REQ-03C</t>
        </is>
      </c>
      <c r="H23" s="5" t="inlineStr">
        <is>
          <t>Funcional (Carrito)</t>
        </is>
      </c>
    </row>
    <row r="24" ht="24" customHeight="1">
      <c r="A24" s="9" t="inlineStr">
        <is>
          <t>ACT-20</t>
        </is>
      </c>
      <c r="B24" s="10" t="inlineStr">
        <is>
          <t>Verificación de RF-03</t>
        </is>
      </c>
      <c r="C24" s="11" t="inlineStr">
        <is>
          <t>Pruebas de sistema de persistencia entre navegador y móvil y validación funcional con usuarios.</t>
        </is>
      </c>
      <c r="D24" s="12" t="inlineStr">
        <is>
          <t>1.2.3.3</t>
        </is>
      </c>
      <c r="E24" s="9" t="inlineStr">
        <is>
          <t>RF-03</t>
        </is>
      </c>
      <c r="F24" s="18" t="inlineStr">
        <is>
          <t>V</t>
        </is>
      </c>
      <c r="G24" s="12" t="inlineStr">
        <is>
          <t>REQ-03V</t>
        </is>
      </c>
      <c r="H24" s="10" t="inlineStr">
        <is>
          <t>Funcional (Carrito)</t>
        </is>
      </c>
    </row>
    <row r="25" ht="24" customHeight="1">
      <c r="A25" s="4" t="inlineStr">
        <is>
          <t>ACT-21</t>
        </is>
      </c>
      <c r="B25" s="5" t="inlineStr">
        <is>
          <t>Especificación y diseño de pruebas de RF-04</t>
        </is>
      </c>
      <c r="C25" s="6" t="inlineStr">
        <is>
          <t>Especificación técnica de integración con la pasarela externa de pago, diseño de pantallas de checkout y casos de prueba.</t>
        </is>
      </c>
      <c r="D25" s="7" t="inlineStr">
        <is>
          <t>1.2.3.1</t>
        </is>
      </c>
      <c r="E25" s="4" t="inlineStr">
        <is>
          <t>RF-04</t>
        </is>
      </c>
      <c r="F25" s="16" t="inlineStr">
        <is>
          <t>E</t>
        </is>
      </c>
      <c r="G25" s="7" t="inlineStr">
        <is>
          <t>REQ-04E</t>
        </is>
      </c>
      <c r="H25" s="5" t="inlineStr">
        <is>
          <t>Funcional (Pago)</t>
        </is>
      </c>
    </row>
    <row r="26" ht="24" customHeight="1">
      <c r="A26" s="9" t="inlineStr">
        <is>
          <t>ACT-22</t>
        </is>
      </c>
      <c r="B26" s="10" t="inlineStr">
        <is>
          <t>Construcción e integración de RF-04</t>
        </is>
      </c>
      <c r="C26" s="11" t="inlineStr">
        <is>
          <t>Implementación del servicio de pagos, tokenización segura (sin almacenar tarjetas) y confirmación de cobro.</t>
        </is>
      </c>
      <c r="D26" s="12" t="inlineStr">
        <is>
          <t>1.2.3.2</t>
        </is>
      </c>
      <c r="E26" s="9" t="inlineStr">
        <is>
          <t>RF-04</t>
        </is>
      </c>
      <c r="F26" s="17" t="inlineStr">
        <is>
          <t>C</t>
        </is>
      </c>
      <c r="G26" s="12" t="inlineStr">
        <is>
          <t>REQ-04C</t>
        </is>
      </c>
      <c r="H26" s="10" t="inlineStr">
        <is>
          <t>Funcional (Pago)</t>
        </is>
      </c>
    </row>
    <row r="27" ht="24" customHeight="1">
      <c r="A27" s="4" t="inlineStr">
        <is>
          <t>ACT-23</t>
        </is>
      </c>
      <c r="B27" s="5" t="inlineStr">
        <is>
          <t>Verificación de RF-04</t>
        </is>
      </c>
      <c r="C27" s="6" t="inlineStr">
        <is>
          <t>Pruebas transaccionales en modo de pruebas contra la pasarela externa en entorno de verificación.</t>
        </is>
      </c>
      <c r="D27" s="7" t="inlineStr">
        <is>
          <t>1.2.3.3</t>
        </is>
      </c>
      <c r="E27" s="4" t="inlineStr">
        <is>
          <t>RF-04</t>
        </is>
      </c>
      <c r="F27" s="18" t="inlineStr">
        <is>
          <t>V</t>
        </is>
      </c>
      <c r="G27" s="7" t="inlineStr">
        <is>
          <t>REQ-04V</t>
        </is>
      </c>
      <c r="H27" s="5" t="inlineStr">
        <is>
          <t>Funcional (Pago)</t>
        </is>
      </c>
    </row>
    <row r="28" ht="24" customHeight="1">
      <c r="A28" s="9" t="inlineStr">
        <is>
          <t>ACT-24</t>
        </is>
      </c>
      <c r="B28" s="10" t="inlineStr">
        <is>
          <t>Especificación y diseño de pruebas de RF-05</t>
        </is>
      </c>
      <c r="C28" s="11" t="inlineStr">
        <is>
          <t>Definición de cálculo de zonas de cobertura por CP, gestión de franjas horarias, cupos y diseño de pruebas.</t>
        </is>
      </c>
      <c r="D28" s="12" t="inlineStr">
        <is>
          <t>1.2.4.1</t>
        </is>
      </c>
      <c r="E28" s="9" t="inlineStr">
        <is>
          <t>RF-05</t>
        </is>
      </c>
      <c r="F28" s="16" t="inlineStr">
        <is>
          <t>E</t>
        </is>
      </c>
      <c r="G28" s="12" t="inlineStr">
        <is>
          <t>REQ-05E</t>
        </is>
      </c>
      <c r="H28" s="10" t="inlineStr">
        <is>
          <t>Funcional (Logística)</t>
        </is>
      </c>
    </row>
    <row r="29" ht="24" customHeight="1">
      <c r="A29" s="4" t="inlineStr">
        <is>
          <t>ACT-25</t>
        </is>
      </c>
      <c r="B29" s="5" t="inlineStr">
        <is>
          <t>Construcción e integración de RF-05</t>
        </is>
      </c>
      <c r="C29" s="6" t="inlineStr">
        <is>
          <t>Desarrollo del servicio de entregas, asignación de repartidores y componentes de selección de franja en web y móvil.</t>
        </is>
      </c>
      <c r="D29" s="7" t="inlineStr">
        <is>
          <t>1.2.4.2</t>
        </is>
      </c>
      <c r="E29" s="4" t="inlineStr">
        <is>
          <t>RF-05</t>
        </is>
      </c>
      <c r="F29" s="17" t="inlineStr">
        <is>
          <t>C</t>
        </is>
      </c>
      <c r="G29" s="7" t="inlineStr">
        <is>
          <t>REQ-05C</t>
        </is>
      </c>
      <c r="H29" s="5" t="inlineStr">
        <is>
          <t>Funcional (Logística)</t>
        </is>
      </c>
    </row>
    <row r="30" ht="24" customHeight="1">
      <c r="A30" s="9" t="inlineStr">
        <is>
          <t>ACT-26</t>
        </is>
      </c>
      <c r="B30" s="10" t="inlineStr">
        <is>
          <t>Verificación de RF-05</t>
        </is>
      </c>
      <c r="C30" s="11" t="inlineStr">
        <is>
          <t>Pruebas de cobertura geográfica por código postal y control de capacidad máxima por franja horaria.</t>
        </is>
      </c>
      <c r="D30" s="12" t="inlineStr">
        <is>
          <t>1.2.4.3</t>
        </is>
      </c>
      <c r="E30" s="9" t="inlineStr">
        <is>
          <t>RF-05</t>
        </is>
      </c>
      <c r="F30" s="18" t="inlineStr">
        <is>
          <t>V</t>
        </is>
      </c>
      <c r="G30" s="12" t="inlineStr">
        <is>
          <t>REQ-05V</t>
        </is>
      </c>
      <c r="H30" s="10" t="inlineStr">
        <is>
          <t>Funcional (Logística)</t>
        </is>
      </c>
    </row>
    <row r="31" ht="24" customHeight="1">
      <c r="A31" s="4" t="inlineStr">
        <is>
          <t>ACT-27</t>
        </is>
      </c>
      <c r="B31" s="5" t="inlineStr">
        <is>
          <t>Especificación y diseño de pruebas de RF-06</t>
        </is>
      </c>
      <c r="C31" s="6" t="inlineStr">
        <is>
          <t>Diseño de interacción del panel de tienda, flujos de preparación de pedidos, cambios de estado y diseño de pruebas.</t>
        </is>
      </c>
      <c r="D31" s="7" t="inlineStr">
        <is>
          <t>1.2.4.1</t>
        </is>
      </c>
      <c r="E31" s="4" t="inlineStr">
        <is>
          <t>RF-06</t>
        </is>
      </c>
      <c r="F31" s="16" t="inlineStr">
        <is>
          <t>E</t>
        </is>
      </c>
      <c r="G31" s="7" t="inlineStr">
        <is>
          <t>REQ-06E</t>
        </is>
      </c>
      <c r="H31" s="5" t="inlineStr">
        <is>
          <t>Funcional (Panel Tienda)</t>
        </is>
      </c>
    </row>
    <row r="32" ht="24" customHeight="1">
      <c r="A32" s="9" t="inlineStr">
        <is>
          <t>ACT-28</t>
        </is>
      </c>
      <c r="B32" s="10" t="inlineStr">
        <is>
          <t>Construcción e integración de RF-06</t>
        </is>
      </c>
      <c r="C32" s="11" t="inlineStr">
        <is>
          <t>Desarrollo de la aplicación web del panel de tienda, servicio de pedidos de tienda y sincronización de estados.</t>
        </is>
      </c>
      <c r="D32" s="12" t="inlineStr">
        <is>
          <t>1.2.4.2</t>
        </is>
      </c>
      <c r="E32" s="9" t="inlineStr">
        <is>
          <t>RF-06</t>
        </is>
      </c>
      <c r="F32" s="17" t="inlineStr">
        <is>
          <t>C</t>
        </is>
      </c>
      <c r="G32" s="12" t="inlineStr">
        <is>
          <t>REQ-06C</t>
        </is>
      </c>
      <c r="H32" s="10" t="inlineStr">
        <is>
          <t>Funcional (Panel Tienda)</t>
        </is>
      </c>
    </row>
    <row r="33" ht="24" customHeight="1">
      <c r="A33" s="4" t="inlineStr">
        <is>
          <t>ACT-29</t>
        </is>
      </c>
      <c r="B33" s="5" t="inlineStr">
        <is>
          <t>Verificación de RF-06</t>
        </is>
      </c>
      <c r="C33" s="6" t="inlineStr">
        <is>
          <t>Pruebas de operación en tienda con pedidos simulados y datos reales cargados desde el ERP.</t>
        </is>
      </c>
      <c r="D33" s="7" t="inlineStr">
        <is>
          <t>1.2.4.3</t>
        </is>
      </c>
      <c r="E33" s="4" t="inlineStr">
        <is>
          <t>RF-06</t>
        </is>
      </c>
      <c r="F33" s="18" t="inlineStr">
        <is>
          <t>V</t>
        </is>
      </c>
      <c r="G33" s="7" t="inlineStr">
        <is>
          <t>REQ-06V</t>
        </is>
      </c>
      <c r="H33" s="5" t="inlineStr">
        <is>
          <t>Funcional (Panel Tienda)</t>
        </is>
      </c>
    </row>
    <row r="34" ht="24" customHeight="1">
      <c r="A34" s="9" t="inlineStr">
        <is>
          <t>ACT-30</t>
        </is>
      </c>
      <c r="B34" s="10" t="inlineStr">
        <is>
          <t>Especificación y diseño de pruebas de RF-07</t>
        </is>
      </c>
      <c r="C34" s="11" t="inlineStr">
        <is>
          <t>Definición de plantillas y eventos de aviso por email y notificaciones push en iOS/Android y casos de prueba.</t>
        </is>
      </c>
      <c r="D34" s="12" t="inlineStr">
        <is>
          <t>1.2.5.1</t>
        </is>
      </c>
      <c r="E34" s="9" t="inlineStr">
        <is>
          <t>RF-07</t>
        </is>
      </c>
      <c r="F34" s="16" t="inlineStr">
        <is>
          <t>E</t>
        </is>
      </c>
      <c r="G34" s="12" t="inlineStr">
        <is>
          <t>REQ-07E</t>
        </is>
      </c>
      <c r="H34" s="10" t="inlineStr">
        <is>
          <t>Funcional (Notificaciones)</t>
        </is>
      </c>
    </row>
    <row r="35" ht="24" customHeight="1">
      <c r="A35" s="4" t="inlineStr">
        <is>
          <t>ACT-31</t>
        </is>
      </c>
      <c r="B35" s="5" t="inlineStr">
        <is>
          <t>Construcción e integración de RF-07</t>
        </is>
      </c>
      <c r="C35" s="6" t="inlineStr">
        <is>
          <t>Implementación del microservicio de notificaciones, pasarela SMTP y conexión con servicios APNs y FCM.</t>
        </is>
      </c>
      <c r="D35" s="7" t="inlineStr">
        <is>
          <t>1.2.5.2</t>
        </is>
      </c>
      <c r="E35" s="4" t="inlineStr">
        <is>
          <t>RF-07</t>
        </is>
      </c>
      <c r="F35" s="17" t="inlineStr">
        <is>
          <t>C</t>
        </is>
      </c>
      <c r="G35" s="7" t="inlineStr">
        <is>
          <t>REQ-07C</t>
        </is>
      </c>
      <c r="H35" s="5" t="inlineStr">
        <is>
          <t>Funcional (Notificaciones)</t>
        </is>
      </c>
    </row>
    <row r="36" ht="24" customHeight="1">
      <c r="A36" s="9" t="inlineStr">
        <is>
          <t>ACT-32</t>
        </is>
      </c>
      <c r="B36" s="10" t="inlineStr">
        <is>
          <t>Verificación de RF-07</t>
        </is>
      </c>
      <c r="C36" s="11" t="inlineStr">
        <is>
          <t>Pruebas de envío y recepción de correos y alertas móviles ante cambios de estado de pedidos.</t>
        </is>
      </c>
      <c r="D36" s="12" t="inlineStr">
        <is>
          <t>1.2.5.3</t>
        </is>
      </c>
      <c r="E36" s="9" t="inlineStr">
        <is>
          <t>RF-07</t>
        </is>
      </c>
      <c r="F36" s="18" t="inlineStr">
        <is>
          <t>V</t>
        </is>
      </c>
      <c r="G36" s="12" t="inlineStr">
        <is>
          <t>REQ-07V</t>
        </is>
      </c>
      <c r="H36" s="10" t="inlineStr">
        <is>
          <t>Funcional (Notificaciones)</t>
        </is>
      </c>
    </row>
    <row r="37" ht="24" customHeight="1">
      <c r="A37" s="4" t="inlineStr">
        <is>
          <t>ACT-33</t>
        </is>
      </c>
      <c r="B37" s="5" t="inlineStr">
        <is>
          <t>Especificación y diseño de pruebas de RF-08</t>
        </is>
      </c>
      <c r="C37" s="6" t="inlineStr">
        <is>
          <t>Definición de los cuatro informes de ventas por periodo comercial (CA-01), formatos agregados y pruebas.</t>
        </is>
      </c>
      <c r="D37" s="7" t="inlineStr">
        <is>
          <t>1.2.5.1</t>
        </is>
      </c>
      <c r="E37" s="4" t="inlineStr">
        <is>
          <t>RF-08</t>
        </is>
      </c>
      <c r="F37" s="16" t="inlineStr">
        <is>
          <t>E</t>
        </is>
      </c>
      <c r="G37" s="7" t="inlineStr">
        <is>
          <t>REQ-08E</t>
        </is>
      </c>
      <c r="H37" s="5" t="inlineStr">
        <is>
          <t>Funcional (Informes)</t>
        </is>
      </c>
    </row>
    <row r="38" ht="24" customHeight="1">
      <c r="A38" s="9" t="inlineStr">
        <is>
          <t>ACT-34</t>
        </is>
      </c>
      <c r="B38" s="10" t="inlineStr">
        <is>
          <t>Construcción e integración de RF-08</t>
        </is>
      </c>
      <c r="C38" s="11" t="inlineStr">
        <is>
          <t>Desarrollo del servicio de informes, agregación de ventas diarias, productos más vendidos y módulo web de dirección.</t>
        </is>
      </c>
      <c r="D38" s="12" t="inlineStr">
        <is>
          <t>1.2.5.2</t>
        </is>
      </c>
      <c r="E38" s="9" t="inlineStr">
        <is>
          <t>RF-08</t>
        </is>
      </c>
      <c r="F38" s="17" t="inlineStr">
        <is>
          <t>C</t>
        </is>
      </c>
      <c r="G38" s="12" t="inlineStr">
        <is>
          <t>REQ-08C</t>
        </is>
      </c>
      <c r="H38" s="10" t="inlineStr">
        <is>
          <t>Funcional (Informes)</t>
        </is>
      </c>
    </row>
    <row r="39" ht="24" customHeight="1">
      <c r="A39" s="4" t="inlineStr">
        <is>
          <t>ACT-35</t>
        </is>
      </c>
      <c r="B39" s="5" t="inlineStr">
        <is>
          <t>Verificación de RF-08</t>
        </is>
      </c>
      <c r="C39" s="6" t="inlineStr">
        <is>
          <t>Comprobación de cuadre de cifras contra ventas registradas y agregación por periodos comerciales.</t>
        </is>
      </c>
      <c r="D39" s="7" t="inlineStr">
        <is>
          <t>1.2.5.3</t>
        </is>
      </c>
      <c r="E39" s="4" t="inlineStr">
        <is>
          <t>RF-08</t>
        </is>
      </c>
      <c r="F39" s="18" t="inlineStr">
        <is>
          <t>V</t>
        </is>
      </c>
      <c r="G39" s="7" t="inlineStr">
        <is>
          <t>REQ-08V</t>
        </is>
      </c>
      <c r="H39" s="5" t="inlineStr">
        <is>
          <t>Funcional (Informes)</t>
        </is>
      </c>
    </row>
    <row r="40" ht="24" customHeight="1">
      <c r="A40" s="9" t="inlineStr">
        <is>
          <t>ACT-36</t>
        </is>
      </c>
      <c r="B40" s="10" t="inlineStr">
        <is>
          <t>Arquitectura y entorno de integración</t>
        </is>
      </c>
      <c r="C40" s="11" t="inlineStr">
        <is>
          <t>Configuración de repositorio Git, canalización CI/CD con pruebas automatizadas y entorno de desarrollo.</t>
        </is>
      </c>
      <c r="D40" s="12" t="inlineStr">
        <is>
          <t>1.3.1.1</t>
        </is>
      </c>
      <c r="E40" s="14" t="inlineStr">
        <is>
          <t>EP-03</t>
        </is>
      </c>
      <c r="F40" s="12" t="inlineStr">
        <is>
          <t>—</t>
        </is>
      </c>
      <c r="G40" s="12" t="inlineStr">
        <is>
          <t>ENT-INT</t>
        </is>
      </c>
      <c r="H40" s="10" t="inlineStr">
        <is>
          <t>Transversal (EP-03)</t>
        </is>
      </c>
    </row>
    <row r="41" ht="24" customHeight="1">
      <c r="A41" s="4" t="inlineStr">
        <is>
          <t>ACT-37</t>
        </is>
      </c>
      <c r="B41" s="5" t="inlineStr">
        <is>
          <t>Especificación de interfaz con conector</t>
        </is>
      </c>
      <c r="C41" s="6" t="inlineStr">
        <is>
          <t>Redacción y acuerdo del contrato de interfaz técnica OpenAPI con el conector del ERP (ESP, DA-03).</t>
        </is>
      </c>
      <c r="D41" s="7" t="inlineStr">
        <is>
          <t>1.3.1.2</t>
        </is>
      </c>
      <c r="E41" s="15" t="inlineStr">
        <is>
          <t>EP-04</t>
        </is>
      </c>
      <c r="F41" s="7" t="inlineStr">
        <is>
          <t>—</t>
        </is>
      </c>
      <c r="G41" s="7" t="inlineStr">
        <is>
          <t>ESP-ERP</t>
        </is>
      </c>
      <c r="H41" s="5" t="inlineStr">
        <is>
          <t>Transversal (EP-04)</t>
        </is>
      </c>
    </row>
    <row r="42" ht="24" customHeight="1">
      <c r="A42" s="9" t="inlineStr">
        <is>
          <t>ACT-38</t>
        </is>
      </c>
      <c r="B42" s="10" t="inlineStr">
        <is>
          <t>Construcción de capa de adaptación al ERP</t>
        </is>
      </c>
      <c r="C42" s="11" t="inlineStr">
        <is>
          <t>Programación de los módulos de sincronización de catálogo, precios, existencias y volcado de pedidos (ADP).</t>
        </is>
      </c>
      <c r="D42" s="12" t="inlineStr">
        <is>
          <t>1.3.2.1</t>
        </is>
      </c>
      <c r="E42" s="14" t="inlineStr">
        <is>
          <t>EP-04</t>
        </is>
      </c>
      <c r="F42" s="12" t="inlineStr">
        <is>
          <t>—</t>
        </is>
      </c>
      <c r="G42" s="12" t="inlineStr">
        <is>
          <t>ADP-ERP</t>
        </is>
      </c>
      <c r="H42" s="10" t="inlineStr">
        <is>
          <t>Transversal (EP-04)</t>
        </is>
      </c>
    </row>
    <row r="43" ht="24" customHeight="1">
      <c r="A43" s="4" t="inlineStr">
        <is>
          <t>ACT-39</t>
        </is>
      </c>
      <c r="B43" s="5" t="inlineStr">
        <is>
          <t>Pruebas de integración con ERP heredado</t>
        </is>
      </c>
      <c r="C43" s="6" t="inlineStr">
        <is>
          <t>Ensayos de sincronización extremo a extremo con el ERP a través del conector en verificación (PRI).</t>
        </is>
      </c>
      <c r="D43" s="7" t="inlineStr">
        <is>
          <t>1.3.3.1</t>
        </is>
      </c>
      <c r="E43" s="15" t="inlineStr">
        <is>
          <t>EP-04</t>
        </is>
      </c>
      <c r="F43" s="7" t="inlineStr">
        <is>
          <t>—</t>
        </is>
      </c>
      <c r="G43" s="7" t="inlineStr">
        <is>
          <t>PRI-ERP</t>
        </is>
      </c>
      <c r="H43" s="5" t="inlineStr">
        <is>
          <t>Transversal (EP-04)</t>
        </is>
      </c>
    </row>
    <row r="44" ht="24" customHeight="1">
      <c r="A44" s="9" t="inlineStr">
        <is>
          <t>ACT-40</t>
        </is>
      </c>
      <c r="B44" s="10" t="inlineStr">
        <is>
          <t>Carga inicial de datos en verificación</t>
        </is>
      </c>
      <c r="C44" s="11" t="inlineStr">
        <is>
          <t>Carga masiva de existencias, precios y referencias de las 32 tiendas en el entorno de verificación (CAR).</t>
        </is>
      </c>
      <c r="D44" s="12" t="inlineStr">
        <is>
          <t>1.3.3.2</t>
        </is>
      </c>
      <c r="E44" s="14" t="inlineStr">
        <is>
          <t>EP-04</t>
        </is>
      </c>
      <c r="F44" s="12" t="inlineStr">
        <is>
          <t>—</t>
        </is>
      </c>
      <c r="G44" s="12" t="inlineStr">
        <is>
          <t>CAR-VER</t>
        </is>
      </c>
      <c r="H44" s="10" t="inlineStr">
        <is>
          <t>Transversal (EP-04)</t>
        </is>
      </c>
    </row>
    <row r="45" ht="24" customHeight="1">
      <c r="A45" s="4" t="inlineStr">
        <is>
          <t>ACT-41</t>
        </is>
      </c>
      <c r="B45" s="5" t="inlineStr">
        <is>
          <t>Solicitud y validación de recarga de datos</t>
        </is>
      </c>
      <c r="C45" s="6" t="inlineStr">
        <is>
          <t>Petición formal a Sistemas de TI de recarga de datos y comprobación de integridad (CVE, RT-02).</t>
        </is>
      </c>
      <c r="D45" s="7" t="inlineStr">
        <is>
          <t>1.3.3.3</t>
        </is>
      </c>
      <c r="E45" s="15" t="inlineStr">
        <is>
          <t>EP-04</t>
        </is>
      </c>
      <c r="F45" s="7" t="inlineStr">
        <is>
          <t>—</t>
        </is>
      </c>
      <c r="G45" s="7" t="inlineStr">
        <is>
          <t>REC-DAT</t>
        </is>
      </c>
      <c r="H45" s="5" t="inlineStr">
        <is>
          <t>Transversal (EP-04)</t>
        </is>
      </c>
    </row>
    <row r="46" ht="24" customHeight="1">
      <c r="A46" s="9" t="inlineStr">
        <is>
          <t>ACT-42</t>
        </is>
      </c>
      <c r="B46" s="10" t="inlineStr">
        <is>
          <t>Pruebas de carga y rendimiento</t>
        </is>
      </c>
      <c r="C46" s="11" t="inlineStr">
        <is>
          <t>Ensayos en preproducción simulando 2.000 usuarios concurrentes y tiempos de respuesta &lt; 2 s (PCA, RNF-01).</t>
        </is>
      </c>
      <c r="D46" s="12" t="inlineStr">
        <is>
          <t>1.4.1.1</t>
        </is>
      </c>
      <c r="E46" s="14" t="inlineStr">
        <is>
          <t>EP-05</t>
        </is>
      </c>
      <c r="F46" s="12" t="inlineStr">
        <is>
          <t>—</t>
        </is>
      </c>
      <c r="G46" s="12" t="inlineStr">
        <is>
          <t>PCA-RNF</t>
        </is>
      </c>
      <c r="H46" s="10" t="inlineStr">
        <is>
          <t>Transversal (EP-05)</t>
        </is>
      </c>
    </row>
    <row r="47" ht="24" customHeight="1">
      <c r="A47" s="4" t="inlineStr">
        <is>
          <t>ACT-43</t>
        </is>
      </c>
      <c r="B47" s="5" t="inlineStr">
        <is>
          <t>Pruebas de seguridad de la plataforma</t>
        </is>
      </c>
      <c r="C47" s="6" t="inlineStr">
        <is>
          <t>Auditoría de vulnerabilidades, cifrado de comunicaciones y protección de datos (PSE, RNF-03).</t>
        </is>
      </c>
      <c r="D47" s="7" t="inlineStr">
        <is>
          <t>1.4.1.1</t>
        </is>
      </c>
      <c r="E47" s="15" t="inlineStr">
        <is>
          <t>EP-05</t>
        </is>
      </c>
      <c r="F47" s="7" t="inlineStr">
        <is>
          <t>—</t>
        </is>
      </c>
      <c r="G47" s="7" t="inlineStr">
        <is>
          <t>PSE-RNF</t>
        </is>
      </c>
      <c r="H47" s="5" t="inlineStr">
        <is>
          <t>Transversal (EP-05)</t>
        </is>
      </c>
    </row>
    <row r="48" ht="24" customHeight="1">
      <c r="A48" s="9" t="inlineStr">
        <is>
          <t>ACT-44</t>
        </is>
      </c>
      <c r="B48" s="10" t="inlineStr">
        <is>
          <t>Auditoría de pasarela de pago</t>
        </is>
      </c>
      <c r="C48" s="11" t="inlineStr">
        <is>
          <t>Gestión y superación de la auditoría técnica de 15 días hábiles del banco para credenciales reales (AUD).</t>
        </is>
      </c>
      <c r="D48" s="12" t="inlineStr">
        <is>
          <t>1.4.1.2</t>
        </is>
      </c>
      <c r="E48" s="13" t="inlineStr">
        <is>
          <t>—</t>
        </is>
      </c>
      <c r="F48" s="12" t="inlineStr">
        <is>
          <t>—</t>
        </is>
      </c>
      <c r="G48" s="12" t="inlineStr">
        <is>
          <t>AUD</t>
        </is>
      </c>
      <c r="H48" s="10" t="inlineStr">
        <is>
          <t>Hito Técnico / Certificación</t>
        </is>
      </c>
    </row>
    <row r="49" ht="24" customHeight="1">
      <c r="A49" s="4" t="inlineStr">
        <is>
          <t>ACT-45</t>
        </is>
      </c>
      <c r="B49" s="5" t="inlineStr">
        <is>
          <t>Montaje y configuración de producción</t>
        </is>
      </c>
      <c r="C49" s="6" t="inlineStr">
        <is>
          <t>Despliegue de infraestructura, aprovisionamiento de contenedores y configuración de entornos (EP-06).</t>
        </is>
      </c>
      <c r="D49" s="7" t="inlineStr">
        <is>
          <t>1.4.2.1</t>
        </is>
      </c>
      <c r="E49" s="15" t="inlineStr">
        <is>
          <t>EP-06</t>
        </is>
      </c>
      <c r="F49" s="7" t="inlineStr">
        <is>
          <t>—</t>
        </is>
      </c>
      <c r="G49" s="7" t="inlineStr">
        <is>
          <t>DES-PROD</t>
        </is>
      </c>
      <c r="H49" s="5" t="inlineStr">
        <is>
          <t>Transversal (EP-06)</t>
        </is>
      </c>
    </row>
    <row r="50" ht="24" customHeight="1">
      <c r="A50" s="9" t="inlineStr">
        <is>
          <t>ACT-46</t>
        </is>
      </c>
      <c r="B50" s="10" t="inlineStr">
        <is>
          <t>Despliegue para tiendas piloto</t>
        </is>
      </c>
      <c r="C50" s="11" t="inlineStr">
        <is>
          <t>Puesta en producción restringida de la plataforma para las 3 tiendas designadas por TuSuper (DPI).</t>
        </is>
      </c>
      <c r="D50" s="12" t="inlineStr">
        <is>
          <t>1.4.2.2</t>
        </is>
      </c>
      <c r="E50" s="14" t="inlineStr">
        <is>
          <t>EP-06</t>
        </is>
      </c>
      <c r="F50" s="12" t="inlineStr">
        <is>
          <t>—</t>
        </is>
      </c>
      <c r="G50" s="12" t="inlineStr">
        <is>
          <t>DPI</t>
        </is>
      </c>
      <c r="H50" s="10" t="inlineStr">
        <is>
          <t>Transversal (EP-06)</t>
        </is>
      </c>
    </row>
    <row r="51" ht="24" customHeight="1">
      <c r="A51" s="4" t="inlineStr">
        <is>
          <t>ACT-47</t>
        </is>
      </c>
      <c r="B51" s="5" t="inlineStr">
        <is>
          <t>Carga inicial de datos en producción</t>
        </is>
      </c>
      <c r="C51" s="6" t="inlineStr">
        <is>
          <t>Carga de catálogo real y existencias vivas de las 3 tiendas piloto previo al arranque (CAR).</t>
        </is>
      </c>
      <c r="D51" s="7" t="inlineStr">
        <is>
          <t>1.4.2.3</t>
        </is>
      </c>
      <c r="E51" s="15" t="inlineStr">
        <is>
          <t>EP-04</t>
        </is>
      </c>
      <c r="F51" s="7" t="inlineStr">
        <is>
          <t>—</t>
        </is>
      </c>
      <c r="G51" s="7" t="inlineStr">
        <is>
          <t>CAR-PROD</t>
        </is>
      </c>
      <c r="H51" s="5" t="inlineStr">
        <is>
          <t>Transversal (EP-04)</t>
        </is>
      </c>
    </row>
    <row r="52" ht="24" customHeight="1">
      <c r="A52" s="9" t="inlineStr">
        <is>
          <t>ACT-48</t>
        </is>
      </c>
      <c r="B52" s="10" t="inlineStr">
        <is>
          <t>Soporte y operación del piloto</t>
        </is>
      </c>
      <c r="C52" s="11" t="inlineStr">
        <is>
          <t>Seguimiento técnico del piloto en 3 tiendas durante al menos dos ciclos semanales de reposición (PIL, CA-03).</t>
        </is>
      </c>
      <c r="D52" s="12" t="inlineStr">
        <is>
          <t>1.4.3.1</t>
        </is>
      </c>
      <c r="E52" s="14" t="inlineStr">
        <is>
          <t>EP-05</t>
        </is>
      </c>
      <c r="F52" s="12" t="inlineStr">
        <is>
          <t>—</t>
        </is>
      </c>
      <c r="G52" s="12" t="inlineStr">
        <is>
          <t>PIL</t>
        </is>
      </c>
      <c r="H52" s="10" t="inlineStr">
        <is>
          <t>Transversal (EP-05)</t>
        </is>
      </c>
    </row>
    <row r="53" ht="24" customHeight="1">
      <c r="A53" s="4" t="inlineStr">
        <is>
          <t>ACT-49</t>
        </is>
      </c>
      <c r="B53" s="5" t="inlineStr">
        <is>
          <t>Despliegue general en toda la cadena</t>
        </is>
      </c>
      <c r="C53" s="6" t="inlineStr">
        <is>
          <t>Entrada en explotación abriendo la venta en línea a las 32 tiendas antes del 15 de marzo (EXP).</t>
        </is>
      </c>
      <c r="D53" s="7" t="inlineStr">
        <is>
          <t>1.4.4.1</t>
        </is>
      </c>
      <c r="E53" s="15" t="inlineStr">
        <is>
          <t>EP-06</t>
        </is>
      </c>
      <c r="F53" s="7" t="inlineStr">
        <is>
          <t>—</t>
        </is>
      </c>
      <c r="G53" s="7" t="inlineStr">
        <is>
          <t>EXP</t>
        </is>
      </c>
      <c r="H53" s="5" t="inlineStr">
        <is>
          <t>Transversal (EP-06)</t>
        </is>
      </c>
    </row>
    <row r="54" ht="24" customHeight="1">
      <c r="A54" s="9" t="inlineStr">
        <is>
          <t>ACT-50</t>
        </is>
      </c>
      <c r="B54" s="10" t="inlineStr">
        <is>
          <t>Elaboración de manuales y guías</t>
        </is>
      </c>
      <c r="C54" s="11" t="inlineStr">
        <is>
          <t>Redacción del manual de uso del panel de tiendas y de la guía operativa para repartidores (EP-07).</t>
        </is>
      </c>
      <c r="D54" s="12" t="inlineStr">
        <is>
          <t>1.5.1.1</t>
        </is>
      </c>
      <c r="E54" s="14" t="inlineStr">
        <is>
          <t>EP-07</t>
        </is>
      </c>
      <c r="F54" s="12" t="inlineStr">
        <is>
          <t>—</t>
        </is>
      </c>
      <c r="G54" s="12" t="inlineStr">
        <is>
          <t>DOC-MAN</t>
        </is>
      </c>
      <c r="H54" s="10" t="inlineStr">
        <is>
          <t>Transversal (EP-07)</t>
        </is>
      </c>
    </row>
    <row r="55" ht="24" customHeight="1">
      <c r="A55" s="4" t="inlineStr">
        <is>
          <t>ACT-51</t>
        </is>
      </c>
      <c r="B55" s="5" t="inlineStr">
        <is>
          <t>Entrega y acceso al dpto. de formación</t>
        </is>
      </c>
      <c r="C55" s="6" t="inlineStr">
        <is>
          <t>Entrega de manuales y habilitación de accesos en preproducción al departamento de formación (DFO).</t>
        </is>
      </c>
      <c r="D55" s="7" t="inlineStr">
        <is>
          <t>1.5.1.2</t>
        </is>
      </c>
      <c r="E55" s="15" t="inlineStr">
        <is>
          <t>EP-07</t>
        </is>
      </c>
      <c r="F55" s="7" t="inlineStr">
        <is>
          <t>—</t>
        </is>
      </c>
      <c r="G55" s="7" t="inlineStr">
        <is>
          <t>DFO</t>
        </is>
      </c>
      <c r="H55" s="5" t="inlineStr">
        <is>
          <t>Transversal (EP-07)</t>
        </is>
      </c>
    </row>
    <row r="56" ht="24" customHeight="1">
      <c r="A56" s="9" t="inlineStr">
        <is>
          <t>ACT-52</t>
        </is>
      </c>
      <c r="B56" s="10" t="inlineStr">
        <is>
          <t>Pedido y contratación del conector</t>
        </is>
      </c>
      <c r="C56" s="11" t="inlineStr">
        <is>
          <t>Formalización del pedido de compra del conector homologado a Conectia Integración de Sistemas (PED).</t>
        </is>
      </c>
      <c r="D56" s="12" t="inlineStr">
        <is>
          <t>1.6.1.1</t>
        </is>
      </c>
      <c r="E56" s="13" t="inlineStr">
        <is>
          <t>—</t>
        </is>
      </c>
      <c r="F56" s="12" t="inlineStr">
        <is>
          <t>—</t>
        </is>
      </c>
      <c r="G56" s="12" t="inlineStr">
        <is>
          <t>PED</t>
        </is>
      </c>
      <c r="H56" s="10" t="inlineStr">
        <is>
          <t>Adquisición (Conector ERP)</t>
        </is>
      </c>
    </row>
    <row r="57" ht="24" customHeight="1">
      <c r="A57" s="4" t="inlineStr">
        <is>
          <t>ACT-53</t>
        </is>
      </c>
      <c r="B57" s="5" t="inlineStr">
        <is>
          <t>Seguimiento del proveedor del conector</t>
        </is>
      </c>
      <c r="C57" s="6" t="inlineStr">
        <is>
          <t>Monitorización de hitos, entregas intermedias y plazos del proveedor del conector (SEG).</t>
        </is>
      </c>
      <c r="D57" s="7" t="inlineStr">
        <is>
          <t>1.6.1.2</t>
        </is>
      </c>
      <c r="E57" s="8" t="inlineStr">
        <is>
          <t>—</t>
        </is>
      </c>
      <c r="F57" s="7" t="inlineStr">
        <is>
          <t>—</t>
        </is>
      </c>
      <c r="G57" s="7" t="inlineStr">
        <is>
          <t>SEG</t>
        </is>
      </c>
      <c r="H57" s="5" t="inlineStr">
        <is>
          <t>Adquisición (Conector ERP)</t>
        </is>
      </c>
    </row>
    <row r="58" ht="24" customHeight="1">
      <c r="A58" s="9" t="inlineStr">
        <is>
          <t>ACT-54</t>
        </is>
      </c>
      <c r="B58" s="10" t="inlineStr">
        <is>
          <t>Aceptación formal del conector</t>
        </is>
      </c>
      <c r="C58" s="11" t="inlineStr">
        <is>
          <t>Pruebas de conformidad y firma del acta de recepción técnica del conector (ACO).</t>
        </is>
      </c>
      <c r="D58" s="12" t="inlineStr">
        <is>
          <t>1.6.1.3</t>
        </is>
      </c>
      <c r="E58" s="13" t="inlineStr">
        <is>
          <t>—</t>
        </is>
      </c>
      <c r="F58" s="12" t="inlineStr">
        <is>
          <t>—</t>
        </is>
      </c>
      <c r="G58" s="12" t="inlineStr">
        <is>
          <t>ACO</t>
        </is>
      </c>
      <c r="H58" s="10" t="inlineStr">
        <is>
          <t>Adquisición (Conector ERP)</t>
        </is>
      </c>
    </row>
    <row r="59" ht="24" customHeight="1">
      <c r="A59" s="4" t="inlineStr">
        <is>
          <t>ACT-55</t>
        </is>
      </c>
      <c r="B59" s="5" t="inlineStr">
        <is>
          <t>Formalización del encargo de formación</t>
        </is>
      </c>
      <c r="C59" s="6" t="inlineStr">
        <is>
          <t>Emisión del encargo de formación a usuarios al departamento interno de Taracea (EFO, NOR-26).</t>
        </is>
      </c>
      <c r="D59" s="7" t="inlineStr">
        <is>
          <t>1.6.2.1</t>
        </is>
      </c>
      <c r="E59" s="8" t="inlineStr">
        <is>
          <t>—</t>
        </is>
      </c>
      <c r="F59" s="7" t="inlineStr">
        <is>
          <t>—</t>
        </is>
      </c>
      <c r="G59" s="7" t="inlineStr">
        <is>
          <t>EFO</t>
        </is>
      </c>
      <c r="H59" s="5" t="inlineStr">
        <is>
          <t>Adquisición (Formación)</t>
        </is>
      </c>
    </row>
    <row r="60" ht="24" customHeight="1">
      <c r="A60" s="9" t="inlineStr">
        <is>
          <t>ACT-56</t>
        </is>
      </c>
      <c r="B60" s="10" t="inlineStr">
        <is>
          <t>Formación de personal de tiendas piloto</t>
        </is>
      </c>
      <c r="C60" s="11" t="inlineStr">
        <is>
          <t>Impartición de las sesiones formativas al personal de las 3 tiendas piloto en el uso de la plataforma (FPI).</t>
        </is>
      </c>
      <c r="D60" s="12" t="inlineStr">
        <is>
          <t>1.6.2.2</t>
        </is>
      </c>
      <c r="E60" s="13" t="inlineStr">
        <is>
          <t>—</t>
        </is>
      </c>
      <c r="F60" s="12" t="inlineStr">
        <is>
          <t>—</t>
        </is>
      </c>
      <c r="G60" s="12" t="inlineStr">
        <is>
          <t>FPI</t>
        </is>
      </c>
      <c r="H60" s="10" t="inlineStr">
        <is>
          <t>Adquisición (Formación)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20" customWidth="1" min="3" max="3"/>
    <col width="20" customWidth="1" min="4" max="4"/>
    <col width="20" customWidth="1" min="5" max="5"/>
    <col width="18" customWidth="1" min="6" max="6"/>
    <col width="16" customWidth="1" min="7" max="7"/>
  </cols>
  <sheetData>
    <row r="1" ht="24" customHeight="1">
      <c r="A1" s="1" t="inlineStr">
        <is>
          <t>RESUMEN DE COBERTURA Y CONFORMIDAD NORMATIVA (NOR-21 / NOR-11)</t>
        </is>
      </c>
    </row>
    <row r="2" ht="18" customHeight="1">
      <c r="A2" s="2" t="inlineStr">
        <is>
          <t>Verificación de reglas mínimas para aceptación del cronograma por la Oficina de Proyectos</t>
        </is>
      </c>
    </row>
    <row r="4" ht="26" customHeight="1">
      <c r="A4" s="19" t="inlineStr">
        <is>
          <t>REQUISITO FUNCIONAL</t>
        </is>
      </c>
      <c r="B4" s="19" t="inlineStr">
        <is>
          <t>NOMBRE DEL REQUISITO</t>
        </is>
      </c>
      <c r="C4" s="19" t="inlineStr">
        <is>
          <t>ESTADO E (ESP/DIS)</t>
        </is>
      </c>
      <c r="D4" s="19" t="inlineStr">
        <is>
          <t>ESTADO C (CONST/INT)</t>
        </is>
      </c>
      <c r="E4" s="19" t="inlineStr">
        <is>
          <t>ESTADO V (VERIF)</t>
        </is>
      </c>
      <c r="F4" s="19" t="inlineStr">
        <is>
          <t>TOTAL ACTIVIDADES</t>
        </is>
      </c>
      <c r="G4" s="19" t="inlineStr">
        <is>
          <t>ESTADO NOR-21</t>
        </is>
      </c>
    </row>
    <row r="5" ht="20" customHeight="1">
      <c r="A5" s="20" t="inlineStr">
        <is>
          <t>RF-01</t>
        </is>
      </c>
      <c r="B5" s="21" t="inlineStr">
        <is>
          <t>Autenticación de clientes con área personal</t>
        </is>
      </c>
      <c r="C5" s="22">
        <f>COUNTIFS('Lista de Actividades'!$E$5:$E$60, A5, 'Lista de Actividades'!$F$5:$F$60, "E")</f>
        <v/>
      </c>
      <c r="D5" s="22">
        <f>COUNTIFS('Lista de Actividades'!$E$5:$E$60, A5, 'Lista de Actividades'!$F$5:$F$60, "C")</f>
        <v/>
      </c>
      <c r="E5" s="22">
        <f>COUNTIFS('Lista de Actividades'!$E$5:$E$60, A5, 'Lista de Actividades'!$F$5:$F$60, "V")</f>
        <v/>
      </c>
      <c r="F5" s="22">
        <f>SUM(C5:E5)</f>
        <v/>
      </c>
      <c r="G5" s="23">
        <f>IF(AND(C5&gt;=1, D5&gt;=1, E5&gt;=1), "CONFORME", "INCOMPLETO")</f>
        <v/>
      </c>
    </row>
    <row r="6" ht="20" customHeight="1">
      <c r="A6" s="24" t="inlineStr">
        <is>
          <t>RF-02</t>
        </is>
      </c>
      <c r="B6" s="25" t="inlineStr">
        <is>
          <t>Catálogo de productos con búsqueda</t>
        </is>
      </c>
      <c r="C6" s="22">
        <f>COUNTIFS('Lista de Actividades'!$E$5:$E$60, A6, 'Lista de Actividades'!$F$5:$F$60, "E")</f>
        <v/>
      </c>
      <c r="D6" s="22">
        <f>COUNTIFS('Lista de Actividades'!$E$5:$E$60, A6, 'Lista de Actividades'!$F$5:$F$60, "C")</f>
        <v/>
      </c>
      <c r="E6" s="22">
        <f>COUNTIFS('Lista de Actividades'!$E$5:$E$60, A6, 'Lista de Actividades'!$F$5:$F$60, "V")</f>
        <v/>
      </c>
      <c r="F6" s="22">
        <f>SUM(C6:E6)</f>
        <v/>
      </c>
      <c r="G6" s="23">
        <f>IF(AND(C6&gt;=1, D6&gt;=1, E6&gt;=1), "CONFORME", "INCOMPLETO")</f>
        <v/>
      </c>
    </row>
    <row r="7" ht="20" customHeight="1">
      <c r="A7" s="20" t="inlineStr">
        <is>
          <t>RF-03</t>
        </is>
      </c>
      <c r="B7" s="21" t="inlineStr">
        <is>
          <t>Carrito de la compra persistente</t>
        </is>
      </c>
      <c r="C7" s="22">
        <f>COUNTIFS('Lista de Actividades'!$E$5:$E$60, A7, 'Lista de Actividades'!$F$5:$F$60, "E")</f>
        <v/>
      </c>
      <c r="D7" s="22">
        <f>COUNTIFS('Lista de Actividades'!$E$5:$E$60, A7, 'Lista de Actividades'!$F$5:$F$60, "C")</f>
        <v/>
      </c>
      <c r="E7" s="22">
        <f>COUNTIFS('Lista de Actividades'!$E$5:$E$60, A7, 'Lista de Actividades'!$F$5:$F$60, "V")</f>
        <v/>
      </c>
      <c r="F7" s="22">
        <f>SUM(C7:E7)</f>
        <v/>
      </c>
      <c r="G7" s="23">
        <f>IF(AND(C7&gt;=1, D7&gt;=1, E7&gt;=1), "CONFORME", "INCOMPLETO")</f>
        <v/>
      </c>
    </row>
    <row r="8" ht="20" customHeight="1">
      <c r="A8" s="24" t="inlineStr">
        <is>
          <t>RF-04</t>
        </is>
      </c>
      <c r="B8" s="25" t="inlineStr">
        <is>
          <t>Pago mediante pasarela externa</t>
        </is>
      </c>
      <c r="C8" s="22">
        <f>COUNTIFS('Lista de Actividades'!$E$5:$E$60, A8, 'Lista de Actividades'!$F$5:$F$60, "E")</f>
        <v/>
      </c>
      <c r="D8" s="22">
        <f>COUNTIFS('Lista de Actividades'!$E$5:$E$60, A8, 'Lista de Actividades'!$F$5:$F$60, "C")</f>
        <v/>
      </c>
      <c r="E8" s="22">
        <f>COUNTIFS('Lista de Actividades'!$E$5:$E$60, A8, 'Lista de Actividades'!$F$5:$F$60, "V")</f>
        <v/>
      </c>
      <c r="F8" s="22">
        <f>SUM(C8:E8)</f>
        <v/>
      </c>
      <c r="G8" s="23">
        <f>IF(AND(C8&gt;=1, D8&gt;=1, E8&gt;=1), "CONFORME", "INCOMPLETO")</f>
        <v/>
      </c>
    </row>
    <row r="9" ht="20" customHeight="1">
      <c r="A9" s="20" t="inlineStr">
        <is>
          <t>RF-05</t>
        </is>
      </c>
      <c r="B9" s="21" t="inlineStr">
        <is>
          <t>Logística de entrega por código postal</t>
        </is>
      </c>
      <c r="C9" s="22">
        <f>COUNTIFS('Lista de Actividades'!$E$5:$E$60, A9, 'Lista de Actividades'!$F$5:$F$60, "E")</f>
        <v/>
      </c>
      <c r="D9" s="22">
        <f>COUNTIFS('Lista de Actividades'!$E$5:$E$60, A9, 'Lista de Actividades'!$F$5:$F$60, "C")</f>
        <v/>
      </c>
      <c r="E9" s="22">
        <f>COUNTIFS('Lista de Actividades'!$E$5:$E$60, A9, 'Lista de Actividades'!$F$5:$F$60, "V")</f>
        <v/>
      </c>
      <c r="F9" s="22">
        <f>SUM(C9:E9)</f>
        <v/>
      </c>
      <c r="G9" s="23">
        <f>IF(AND(C9&gt;=1, D9&gt;=1, E9&gt;=1), "CONFORME", "INCOMPLETO")</f>
        <v/>
      </c>
    </row>
    <row r="10" ht="20" customHeight="1">
      <c r="A10" s="24" t="inlineStr">
        <is>
          <t>RF-06</t>
        </is>
      </c>
      <c r="B10" s="25" t="inlineStr">
        <is>
          <t>Panel de gestión de pedidos para tienda</t>
        </is>
      </c>
      <c r="C10" s="22">
        <f>COUNTIFS('Lista de Actividades'!$E$5:$E$60, A10, 'Lista de Actividades'!$F$5:$F$60, "E")</f>
        <v/>
      </c>
      <c r="D10" s="22">
        <f>COUNTIFS('Lista de Actividades'!$E$5:$E$60, A10, 'Lista de Actividades'!$F$5:$F$60, "C")</f>
        <v/>
      </c>
      <c r="E10" s="22">
        <f>COUNTIFS('Lista de Actividades'!$E$5:$E$60, A10, 'Lista de Actividades'!$F$5:$F$60, "V")</f>
        <v/>
      </c>
      <c r="F10" s="22">
        <f>SUM(C10:E10)</f>
        <v/>
      </c>
      <c r="G10" s="23">
        <f>IF(AND(C10&gt;=1, D10&gt;=1, E10&gt;=1), "CONFORME", "INCOMPLETO")</f>
        <v/>
      </c>
    </row>
    <row r="11" ht="20" customHeight="1">
      <c r="A11" s="20" t="inlineStr">
        <is>
          <t>RF-07</t>
        </is>
      </c>
      <c r="B11" s="21" t="inlineStr">
        <is>
          <t>Notificaciones por email y móvil</t>
        </is>
      </c>
      <c r="C11" s="22">
        <f>COUNTIFS('Lista de Actividades'!$E$5:$E$60, A11, 'Lista de Actividades'!$F$5:$F$60, "E")</f>
        <v/>
      </c>
      <c r="D11" s="22">
        <f>COUNTIFS('Lista de Actividades'!$E$5:$E$60, A11, 'Lista de Actividades'!$F$5:$F$60, "C")</f>
        <v/>
      </c>
      <c r="E11" s="22">
        <f>COUNTIFS('Lista de Actividades'!$E$5:$E$60, A11, 'Lista de Actividades'!$F$5:$F$60, "V")</f>
        <v/>
      </c>
      <c r="F11" s="22">
        <f>SUM(C11:E11)</f>
        <v/>
      </c>
      <c r="G11" s="23">
        <f>IF(AND(C11&gt;=1, D11&gt;=1, E11&gt;=1), "CONFORME", "INCOMPLETO")</f>
        <v/>
      </c>
    </row>
    <row r="12" ht="20" customHeight="1">
      <c r="A12" s="24" t="inlineStr">
        <is>
          <t>RF-08</t>
        </is>
      </c>
      <c r="B12" s="25" t="inlineStr">
        <is>
          <t>Informes básicos de ventas para dirección</t>
        </is>
      </c>
      <c r="C12" s="22">
        <f>COUNTIFS('Lista de Actividades'!$E$5:$E$60, A12, 'Lista de Actividades'!$F$5:$F$60, "E")</f>
        <v/>
      </c>
      <c r="D12" s="22">
        <f>COUNTIFS('Lista de Actividades'!$E$5:$E$60, A12, 'Lista de Actividades'!$F$5:$F$60, "C")</f>
        <v/>
      </c>
      <c r="E12" s="22">
        <f>COUNTIFS('Lista de Actividades'!$E$5:$E$60, A12, 'Lista de Actividades'!$F$5:$F$60, "V")</f>
        <v/>
      </c>
      <c r="F12" s="22">
        <f>SUM(C12:E12)</f>
        <v/>
      </c>
      <c r="G12" s="23">
        <f>IF(AND(C12&gt;=1, D12&gt;=1, E12&gt;=1), "CONFORME", "INCOMPLETO")</f>
        <v/>
      </c>
    </row>
    <row r="13" ht="22" customHeight="1">
      <c r="A13" s="26" t="inlineStr">
        <is>
          <t>TOTAL FUNCIONALES</t>
        </is>
      </c>
      <c r="B13" s="27" t="inlineStr">
        <is>
          <t>8 Requisitos Funcionales</t>
        </is>
      </c>
      <c r="C13" s="26">
        <f>SUM(C5:C12)</f>
        <v/>
      </c>
      <c r="D13" s="26">
        <f>SUM(D5:D12)</f>
        <v/>
      </c>
      <c r="E13" s="26">
        <f>SUM(E5:E12)</f>
        <v/>
      </c>
      <c r="F13" s="26">
        <f>SUM(F5:F12)</f>
        <v/>
      </c>
      <c r="G13" s="26" t="inlineStr">
        <is>
          <t>100% CUMPLIDO</t>
        </is>
      </c>
    </row>
    <row r="16">
      <c r="A16" s="28" t="inlineStr">
        <is>
          <t>DISTRIBUCIÓN TOTAL DE ACTIVIDADES POR NATURALEZA</t>
        </is>
      </c>
    </row>
    <row r="17" ht="24" customHeight="1">
      <c r="A17" s="29" t="inlineStr">
        <is>
          <t>NATURALEZA / CATEGORÍA</t>
        </is>
      </c>
      <c r="B17" s="29" t="inlineStr">
        <is>
          <t>DESCRIPCIÓN NORMATIVA</t>
        </is>
      </c>
      <c r="C17" s="29" t="inlineStr">
        <is>
          <t>TOTAL ACTIVIDADES</t>
        </is>
      </c>
      <c r="D17" s="29" t="inlineStr">
        <is>
          <t>REQUISITO NOR-21</t>
        </is>
      </c>
    </row>
    <row r="18" ht="20" customHeight="1">
      <c r="A18" s="25" t="inlineStr">
        <is>
          <t>Dirección del Proyecto</t>
        </is>
      </c>
      <c r="B18" s="25" t="inlineStr">
        <is>
          <t>Gestión de planificación, sprints 1 a 6 y cierre</t>
        </is>
      </c>
      <c r="C18" s="12">
        <f>COUNTIFS('Lista de Actividades'!$H$5:$H$60, "*Dirección*")</f>
        <v/>
      </c>
      <c r="D18" s="24" t="inlineStr">
        <is>
          <t>Mínimo 1 paquete NDE</t>
        </is>
      </c>
    </row>
    <row r="19" ht="20" customHeight="1">
      <c r="A19" s="21" t="inlineStr">
        <is>
          <t>Transición y Cierre</t>
        </is>
      </c>
      <c r="B19" s="21" t="inlineStr">
        <is>
          <t>Traspaso al mantenimiento y garantía</t>
        </is>
      </c>
      <c r="C19" s="7">
        <f>COUNTIFS('Lista de Actividades'!$H$5:$H$60, "*Transición*")</f>
        <v/>
      </c>
      <c r="D19" s="20" t="inlineStr">
        <is>
          <t>Entregable obligatorio</t>
        </is>
      </c>
    </row>
    <row r="20" ht="20" customHeight="1">
      <c r="A20" s="25" t="inlineStr">
        <is>
          <t>Requisitos Funcionales</t>
        </is>
      </c>
      <c r="B20" s="25" t="inlineStr">
        <is>
          <t>Estados E, C y V para RF-01 a RF-08</t>
        </is>
      </c>
      <c r="C20" s="12">
        <f>COUNTIFS('Lista de Actividades'!$H$5:$H$60, "*Funcional*")</f>
        <v/>
      </c>
      <c r="D20" s="24" t="inlineStr">
        <is>
          <t>Mínimo E, C, V por RF</t>
        </is>
      </c>
    </row>
    <row r="21" ht="20" customHeight="1">
      <c r="A21" s="21" t="inlineStr">
        <is>
          <t>Elementos Transversales</t>
        </is>
      </c>
      <c r="B21" s="21" t="inlineStr">
        <is>
          <t>Tareas de EP-01 a EP-07 (Diseño, ERP, Despliegue, Doc)</t>
        </is>
      </c>
      <c r="C21" s="7">
        <f>COUNTIFS('Lista de Actividades'!$H$5:$H$60, "*Transversal*")</f>
        <v/>
      </c>
      <c r="D21" s="20" t="inlineStr">
        <is>
          <t>Al menos 1 por EP</t>
        </is>
      </c>
    </row>
    <row r="22" ht="20" customHeight="1">
      <c r="A22" s="25" t="inlineStr">
        <is>
          <t>Adquisiciones Externas e Internas</t>
        </is>
      </c>
      <c r="B22" s="25" t="inlineStr">
        <is>
          <t>Pedido, seguimiento y aceptación (Conector y Formación)</t>
        </is>
      </c>
      <c r="C22" s="12">
        <f>COUNTIFS('Lista de Actividades'!$H$5:$H$60, "*Adquisición*")</f>
        <v/>
      </c>
      <c r="D22" s="24" t="inlineStr">
        <is>
          <t>Pedido, Seg y Acep</t>
        </is>
      </c>
    </row>
    <row r="23" ht="20" customHeight="1">
      <c r="A23" s="21" t="inlineStr">
        <is>
          <t>Auditoría / Certificación Técnica</t>
        </is>
      </c>
      <c r="B23" s="21" t="inlineStr">
        <is>
          <t>Auditoría de pasarela de pago (15 días hábiles)</t>
        </is>
      </c>
      <c r="C23" s="7">
        <f>COUNTIFS('Lista de Actividades'!$H$5:$H$60, "*Certificación*")</f>
        <v/>
      </c>
      <c r="D23" s="20" t="inlineStr">
        <is>
          <t>Hito técnico obligatorio</t>
        </is>
      </c>
    </row>
    <row r="24" ht="22" customHeight="1">
      <c r="A24" s="30" t="inlineStr">
        <is>
          <t>TOTAL GENERAL ACTIVIDADES</t>
        </is>
      </c>
      <c r="B24" s="30" t="inlineStr">
        <is>
          <t>Alcance total descompuesto del proyecto TSL-2627</t>
        </is>
      </c>
      <c r="C24" s="19">
        <f>SUM(C18:C23)</f>
        <v/>
      </c>
      <c r="D24" s="19" t="inlineStr">
        <is>
          <t>CONFORME OFICINA PROYECTOS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2026-10-23T10:13:24Z</dcterms:created>
  <dcterms:modified xmlns:dcterms="http://purl.org/dc/terms/" xmlns:xsi="http://www.w3.org/2001/XMLSchema-instance" xsi:type="dcterms:W3CDTF">2026-10-23T10:13:24Z</dcterms:modified>
</cp:coreProperties>
</file>